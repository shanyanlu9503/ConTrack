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545" windowHeight="12375"/>
  </bookViews>
  <sheets>
    <sheet name="Sheet1" sheetId="1" r:id="rId1"/>
  </sheets>
  <definedNames>
    <definedName name="_xlnm.Print_Area" localSheetId="0">Sheet1!$A$1:$G$35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<sst xmlns="http://schemas.openxmlformats.org/spreadsheetml/2006/main" count="56" uniqueCount="52">
  <si>
    <t>工业品销售合同</t>
  </si>
  <si>
    <t>供方：武汉市恒久化工有限公司</t>
  </si>
  <si>
    <r>
      <rPr>
        <b/>
        <sz val="11.5"/>
        <rFont val="宋体"/>
        <charset val="134"/>
      </rPr>
      <t>合</t>
    </r>
    <r>
      <rPr>
        <b/>
        <sz val="11.5"/>
        <rFont val="Futura"/>
        <charset val="134"/>
      </rPr>
      <t xml:space="preserve"> </t>
    </r>
    <r>
      <rPr>
        <b/>
        <sz val="11.5"/>
        <rFont val="宋体"/>
        <charset val="134"/>
      </rPr>
      <t>同</t>
    </r>
    <r>
      <rPr>
        <b/>
        <sz val="11.5"/>
        <rFont val="Futura"/>
        <charset val="134"/>
      </rPr>
      <t xml:space="preserve"> </t>
    </r>
    <r>
      <rPr>
        <b/>
        <sz val="11.5"/>
        <rFont val="宋体"/>
        <charset val="134"/>
      </rPr>
      <t>号 ：</t>
    </r>
  </si>
  <si>
    <t xml:space="preserve">签订地点： </t>
  </si>
  <si>
    <t>武汉</t>
  </si>
  <si>
    <t>需方：上海斯幕威化工有限公司</t>
  </si>
  <si>
    <t>签订时间：</t>
  </si>
  <si>
    <t>履行地点：</t>
  </si>
  <si>
    <t xml:space="preserve">   </t>
  </si>
  <si>
    <t>根据中华人民共和国合同法及有关法规的规定，经双方协商一致签订本合同并信守下列条款：</t>
  </si>
  <si>
    <t>一：标题、数量、金额：</t>
  </si>
  <si>
    <t>序号</t>
  </si>
  <si>
    <t>产品名称及规格、型号</t>
  </si>
  <si>
    <t>规格</t>
  </si>
  <si>
    <t>含税单价</t>
  </si>
  <si>
    <t>数量</t>
  </si>
  <si>
    <t>总额</t>
  </si>
  <si>
    <t>备注</t>
  </si>
  <si>
    <t xml:space="preserve"> </t>
  </si>
  <si>
    <t>乙酯</t>
  </si>
  <si>
    <t>180KG/桶</t>
  </si>
  <si>
    <t>甲基环己烷</t>
  </si>
  <si>
    <t>160KG/桶</t>
  </si>
  <si>
    <t>合计</t>
  </si>
  <si>
    <t>合计人民币金额（含13%增值税写）：</t>
  </si>
  <si>
    <r>
      <rPr>
        <sz val="11.5"/>
        <rFont val="宋体"/>
        <charset val="134"/>
      </rPr>
      <t>二：  质量要求和技术指标：</t>
    </r>
    <r>
      <rPr>
        <u/>
        <sz val="11.5"/>
        <rFont val="宋体"/>
        <charset val="134"/>
      </rPr>
      <t>按供方产品检验分析单质量指标或封样。</t>
    </r>
  </si>
  <si>
    <r>
      <rPr>
        <sz val="11.5"/>
        <rFont val="宋体"/>
        <charset val="134"/>
      </rPr>
      <t>三： 货物交付时间、方式及地点：</t>
    </r>
    <r>
      <rPr>
        <u/>
        <sz val="11.5"/>
        <rFont val="宋体"/>
        <charset val="134"/>
      </rPr>
      <t xml:space="preserve"> 客户工厂</t>
    </r>
  </si>
  <si>
    <r>
      <rPr>
        <sz val="11.5"/>
        <rFont val="宋体"/>
        <charset val="134"/>
      </rPr>
      <t>四:  合理损耗及计算方法：</t>
    </r>
    <r>
      <rPr>
        <u/>
        <sz val="11.5"/>
        <rFont val="宋体"/>
        <charset val="134"/>
      </rPr>
      <t>按产品标准3‰</t>
    </r>
    <r>
      <rPr>
        <u/>
        <sz val="11"/>
        <rFont val="宋体"/>
        <charset val="134"/>
      </rPr>
      <t>内损耗计算。</t>
    </r>
  </si>
  <si>
    <r>
      <rPr>
        <sz val="11.5"/>
        <rFont val="宋体"/>
        <charset val="134"/>
      </rPr>
      <t>五： 包装标准、包装物的供应及回收：</t>
    </r>
    <r>
      <rPr>
        <u/>
        <sz val="11.5"/>
        <rFont val="宋体"/>
        <charset val="134"/>
      </rPr>
      <t>标准包装</t>
    </r>
  </si>
  <si>
    <r>
      <rPr>
        <sz val="11.5"/>
        <rFont val="宋体"/>
        <charset val="134"/>
      </rPr>
      <t>六： 重量验收标准：</t>
    </r>
    <r>
      <rPr>
        <u/>
        <sz val="11.5"/>
        <rFont val="宋体"/>
        <charset val="134"/>
      </rPr>
      <t>需方在供方把货品送到指定地点时，与供方配送师傅一起测好重量，当场验收并确</t>
    </r>
  </si>
  <si>
    <t>认重量是否合格。若有问题当场提出并处理，待供方配送师傅离开之后再提此问题，我司概不负责 。</t>
  </si>
  <si>
    <r>
      <rPr>
        <sz val="11.5"/>
        <rFont val="宋体"/>
        <charset val="134"/>
      </rPr>
      <t>七：供方对质量负责的条件及期限：</t>
    </r>
    <r>
      <rPr>
        <u/>
        <sz val="11.5"/>
        <rFont val="宋体"/>
        <charset val="134"/>
      </rPr>
      <t>以国标为验收标准，需要提出异议为收到货物当天，卸货则视为验收合格。</t>
    </r>
  </si>
  <si>
    <r>
      <rPr>
        <sz val="11.5"/>
        <rFont val="宋体"/>
        <charset val="134"/>
      </rPr>
      <t>八： 结算方式和期限：</t>
    </r>
    <r>
      <rPr>
        <u/>
        <sz val="11.5"/>
        <rFont val="宋体"/>
        <charset val="134"/>
      </rPr>
      <t>款到发货。</t>
    </r>
  </si>
  <si>
    <r>
      <rPr>
        <sz val="11.5"/>
        <rFont val="宋体"/>
        <charset val="134"/>
      </rPr>
      <t>九：</t>
    </r>
    <r>
      <rPr>
        <sz val="11.5"/>
        <rFont val="Futura"/>
        <charset val="134"/>
      </rPr>
      <t xml:space="preserve"> </t>
    </r>
    <r>
      <rPr>
        <sz val="11.5"/>
        <rFont val="宋体"/>
        <charset val="134"/>
      </rPr>
      <t>违约责任：</t>
    </r>
    <r>
      <rPr>
        <u/>
        <sz val="11.5"/>
        <rFont val="宋体"/>
        <charset val="134"/>
      </rPr>
      <t>违约方按照合同金额的20%向守约方支付违约金，如一方违约，则非违约方由此产生的一切损失</t>
    </r>
  </si>
  <si>
    <t>，包括但不限于法院诉讼费用，律师费等均由违约方承担。其它违约责任参照《中华人民共和国民法典》执行。</t>
  </si>
  <si>
    <r>
      <rPr>
        <sz val="11.5"/>
        <rFont val="宋体"/>
        <charset val="134"/>
      </rPr>
      <t>十：</t>
    </r>
    <r>
      <rPr>
        <sz val="11.5"/>
        <rFont val="Futura"/>
        <charset val="134"/>
      </rPr>
      <t xml:space="preserve"> </t>
    </r>
    <r>
      <rPr>
        <sz val="11.5"/>
        <rFont val="宋体"/>
        <charset val="134"/>
      </rPr>
      <t>合同争议的解决方式：</t>
    </r>
    <r>
      <rPr>
        <u/>
        <sz val="11.5"/>
        <rFont val="宋体"/>
        <charset val="134"/>
      </rPr>
      <t>本合同在履行过程中发生争议双方协商解决，协商不成的，提交合同签订所在地人民</t>
    </r>
  </si>
  <si>
    <t>法院受理。</t>
  </si>
  <si>
    <r>
      <rPr>
        <sz val="11.5"/>
        <rFont val="宋体"/>
        <charset val="134"/>
      </rPr>
      <t>十一：</t>
    </r>
    <r>
      <rPr>
        <sz val="11.5"/>
        <rFont val="Futura"/>
        <charset val="134"/>
      </rPr>
      <t xml:space="preserve">  </t>
    </r>
    <r>
      <rPr>
        <u/>
        <sz val="11.5"/>
        <rFont val="宋体"/>
        <charset val="134"/>
      </rPr>
      <t>本合同一式两份，供需各执一份，双方签字盖章后生效。传真件与合同原件具有同等效力。</t>
    </r>
  </si>
  <si>
    <r>
      <rPr>
        <sz val="11.5"/>
        <rFont val="宋体"/>
        <charset val="134"/>
      </rPr>
      <t xml:space="preserve">十二： </t>
    </r>
    <r>
      <rPr>
        <u/>
        <sz val="11.5"/>
        <rFont val="宋体"/>
        <charset val="134"/>
      </rPr>
      <t>本合同应在当日17：00前双方盖章或者签字生效。</t>
    </r>
  </si>
  <si>
    <t>地址：湖北省武汉市东西湖区金北一路49号C2栋2楼G06-1</t>
  </si>
  <si>
    <t>地址：上海宝山区市台路388弄1308室</t>
  </si>
  <si>
    <t>法定代表人：</t>
  </si>
  <si>
    <t>委托代理人：周雨芹</t>
  </si>
  <si>
    <t>委托代理人：刘总</t>
  </si>
  <si>
    <t>电话：15791974079</t>
  </si>
  <si>
    <t>电话：021-56522199</t>
  </si>
  <si>
    <r>
      <rPr>
        <sz val="11"/>
        <rFont val="宋体"/>
        <charset val="134"/>
      </rPr>
      <t>开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户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行：中国民生银行股份有限公司武汉东西湖支行</t>
    </r>
  </si>
  <si>
    <r>
      <t>开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户</t>
    </r>
    <r>
      <rPr>
        <sz val="11"/>
        <rFont val="Futura"/>
        <charset val="134"/>
      </rPr>
      <t xml:space="preserve"> </t>
    </r>
    <r>
      <rPr>
        <sz val="11"/>
        <rFont val="宋体"/>
        <charset val="134"/>
      </rPr>
      <t>行：农业银行上海顾村支行</t>
    </r>
  </si>
  <si>
    <t>账　　　号：6485 4008 2</t>
  </si>
  <si>
    <t>账　　　号：03488400040037180</t>
  </si>
  <si>
    <r>
      <rPr>
        <sz val="11"/>
        <rFont val="宋体"/>
        <charset val="134"/>
      </rPr>
      <t>税　　　号：</t>
    </r>
    <r>
      <rPr>
        <sz val="11"/>
        <color indexed="8"/>
        <rFont val="宋体"/>
        <charset val="134"/>
      </rPr>
      <t>9142 0112 MACJ C03R 1Y</t>
    </r>
  </si>
  <si>
    <t>税　　　号：913101130593144506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</si>
</sst>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1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WHHJ&quot;yyyymmdd"/>
    <numFmt numFmtId="177" formatCode="&quot;SH&quot;yyyymmdd&quot;-023&quot;"/>
    <numFmt numFmtId="178" formatCode="[$-F800]dddd\,\ mmmm\ dd\,\ yyyy"/>
    <numFmt numFmtId="179" formatCode="General&quot;KG/桶&quot;"/>
    <numFmt numFmtId="180" formatCode="#,##0.00_ "/>
    <numFmt numFmtId="181" formatCode="0.00_ "/>
    <numFmt numFmtId="182" formatCode="[DBNum2][$-804]General&quot;元整&quot;"/>
  </numFmts>
  <fonts count="53">
    <font>
      <sz val="12"/>
      <name val="宋体"/>
      <charset val="134"/>
    </font>
    <font>
      <sz val="12"/>
      <name val="Futura"/>
      <charset val="134"/>
    </font>
    <font>
      <sz val="11"/>
      <name val="Futura"/>
      <charset val="134"/>
    </font>
    <font>
      <sz val="11.5"/>
      <name val="Futura"/>
      <charset val="134"/>
    </font>
    <font>
      <b/>
      <sz val="12"/>
      <name val="Futura"/>
      <charset val="134"/>
    </font>
    <font>
      <sz val="11.5"/>
      <name val="宋体"/>
      <charset val="134"/>
    </font>
    <font>
      <b/>
      <sz val="22"/>
      <name val="宋体"/>
      <charset val="134"/>
    </font>
    <font>
      <b/>
      <sz val="22"/>
      <name val="Futura"/>
      <charset val="134"/>
    </font>
    <font>
      <b/>
      <sz val="20"/>
      <name val="Futura"/>
      <charset val="134"/>
    </font>
    <font>
      <b/>
      <sz val="11.5"/>
      <name val="宋体"/>
      <charset val="134"/>
    </font>
    <font>
      <b/>
      <sz val="11.5"/>
      <name val="Futura"/>
      <charset val="134"/>
    </font>
    <font>
      <b/>
      <sz val="11.5"/>
      <color rgb="FF0070C0"/>
      <name val="Futura"/>
      <charset val="134"/>
    </font>
    <font>
      <sz val="11.5"/>
      <color indexed="8"/>
      <name val="Franklin Gothic Medium"/>
      <charset val="134"/>
    </font>
    <font>
      <sz val="11.5"/>
      <color indexed="8"/>
      <name val="宋体"/>
      <charset val="134"/>
    </font>
    <font>
      <sz val="11.5"/>
      <color rgb="FF000000"/>
      <name val="宋体"/>
      <charset val="134"/>
    </font>
    <font>
      <b/>
      <sz val="12"/>
      <name val="宋体"/>
      <charset val="134"/>
    </font>
    <font>
      <b/>
      <sz val="12"/>
      <color indexed="8"/>
      <name val="Franklin Gothic Medium"/>
      <charset val="134"/>
    </font>
    <font>
      <b/>
      <sz val="12"/>
      <color indexed="8"/>
      <name val="宋体"/>
      <charset val="134"/>
    </font>
    <font>
      <b/>
      <sz val="11"/>
      <color indexed="8"/>
      <name val="宋体"/>
      <charset val="134"/>
    </font>
    <font>
      <b/>
      <sz val="11"/>
      <color rgb="FF000000"/>
      <name val="宋体"/>
      <charset val="134"/>
    </font>
    <font>
      <b/>
      <sz val="11.5"/>
      <color rgb="FF000000"/>
      <name val="宋体"/>
      <charset val="134"/>
    </font>
    <font>
      <b/>
      <sz val="14"/>
      <name val="宋体"/>
      <charset val="134"/>
    </font>
    <font>
      <u/>
      <sz val="11.5"/>
      <name val="Futura"/>
      <charset val="134"/>
    </font>
    <font>
      <u/>
      <sz val="11.5"/>
      <name val="宋体"/>
      <charset val="134"/>
    </font>
    <font>
      <b/>
      <sz val="14"/>
      <name val="Futura"/>
      <charset val="134"/>
    </font>
    <font>
      <sz val="11"/>
      <name val="宋体"/>
      <charset val="134"/>
    </font>
    <font>
      <sz val="11"/>
      <color theme="1"/>
      <name val="宋体"/>
      <charset val="134"/>
    </font>
    <font>
      <sz val="11"/>
      <name val="SimSun"/>
      <charset val="134"/>
    </font>
    <font>
      <sz val="11"/>
      <color rgb="FF000000"/>
      <name val="宋体"/>
      <charset val="134"/>
    </font>
    <font>
      <sz val="11"/>
      <color theme="1"/>
      <name val="Futura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Futura"/>
      <charset val="134"/>
    </font>
    <font>
      <sz val="11"/>
      <color indexed="8"/>
      <name val="宋体"/>
      <charset val="134"/>
    </font>
    <font>
      <u/>
      <sz val="1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0" fillId="0" borderId="0" applyFont="0" applyFill="0" applyBorder="0" applyAlignment="0" applyProtection="0">
      <alignment vertical="center"/>
    </xf>
    <xf numFmtId="44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41" fontId="30" fillId="0" borderId="0" applyFont="0" applyFill="0" applyBorder="0" applyAlignment="0" applyProtection="0">
      <alignment vertical="center"/>
    </xf>
    <xf numFmtId="42" fontId="30" fillId="0" borderId="0" applyFon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0" fillId="4" borderId="13" applyNumberFormat="0" applyFont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8" fillId="0" borderId="15" applyNumberFormat="0" applyFill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5" borderId="16" applyNumberFormat="0" applyAlignment="0" applyProtection="0">
      <alignment vertical="center"/>
    </xf>
    <xf numFmtId="0" fontId="40" fillId="6" borderId="17" applyNumberFormat="0" applyAlignment="0" applyProtection="0">
      <alignment vertical="center"/>
    </xf>
    <xf numFmtId="0" fontId="41" fillId="6" borderId="16" applyNumberFormat="0" applyAlignment="0" applyProtection="0">
      <alignment vertical="center"/>
    </xf>
    <xf numFmtId="0" fontId="42" fillId="7" borderId="18" applyNumberFormat="0" applyAlignment="0" applyProtection="0">
      <alignment vertical="center"/>
    </xf>
    <xf numFmtId="0" fontId="43" fillId="0" borderId="19" applyNumberFormat="0" applyFill="0" applyAlignment="0" applyProtection="0">
      <alignment vertical="center"/>
    </xf>
    <xf numFmtId="0" fontId="44" fillId="0" borderId="20" applyNumberFormat="0" applyFill="0" applyAlignment="0" applyProtection="0">
      <alignment vertical="center"/>
    </xf>
    <xf numFmtId="0" fontId="45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7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8" fillId="14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7" borderId="0" applyNumberFormat="0" applyBorder="0" applyAlignment="0" applyProtection="0">
      <alignment vertical="center"/>
    </xf>
    <xf numFmtId="0" fontId="48" fillId="18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1" borderId="0" applyNumberFormat="0" applyBorder="0" applyAlignment="0" applyProtection="0">
      <alignment vertical="center"/>
    </xf>
    <xf numFmtId="0" fontId="48" fillId="22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5" borderId="0" applyNumberFormat="0" applyBorder="0" applyAlignment="0" applyProtection="0">
      <alignment vertical="center"/>
    </xf>
    <xf numFmtId="0" fontId="48" fillId="26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29" borderId="0" applyNumberFormat="0" applyBorder="0" applyAlignment="0" applyProtection="0">
      <alignment vertical="center"/>
    </xf>
    <xf numFmtId="0" fontId="48" fillId="30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9" fillId="33" borderId="0" applyNumberFormat="0" applyBorder="0" applyAlignment="0" applyProtection="0">
      <alignment vertical="center"/>
    </xf>
    <xf numFmtId="0" fontId="48" fillId="34" borderId="0" applyNumberFormat="0" applyBorder="0" applyAlignment="0" applyProtection="0">
      <alignment vertical="center"/>
    </xf>
  </cellStyleXfs>
  <cellXfs count="75">
    <xf numFmtId="0" fontId="0" fillId="0" borderId="0" xfId="0"/>
    <xf numFmtId="0" fontId="1" fillId="2" borderId="0" xfId="0" applyFont="1" applyFill="1" applyAlignment="1">
      <alignment vertical="top"/>
    </xf>
    <xf numFmtId="0" fontId="2" fillId="2" borderId="0" xfId="0" applyFont="1" applyFill="1"/>
    <xf numFmtId="0" fontId="3" fillId="2" borderId="0" xfId="0" applyFont="1" applyFill="1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3" fillId="3" borderId="0" xfId="0" applyFont="1" applyFill="1"/>
    <xf numFmtId="0" fontId="5" fillId="2" borderId="0" xfId="0" applyFont="1" applyFill="1"/>
    <xf numFmtId="0" fontId="3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6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8" fillId="2" borderId="0" xfId="0" applyFont="1" applyFill="1" applyAlignment="1">
      <alignment horizontal="center"/>
    </xf>
    <xf numFmtId="0" fontId="9" fillId="2" borderId="0" xfId="0" applyFont="1" applyFill="1"/>
    <xf numFmtId="0" fontId="3" fillId="2" borderId="0" xfId="0" applyFont="1" applyFill="1" applyAlignment="1">
      <alignment horizontal="center"/>
    </xf>
    <xf numFmtId="0" fontId="9" fillId="2" borderId="0" xfId="0" applyFont="1" applyFill="1" applyAlignment="1">
      <alignment horizontal="left"/>
    </xf>
    <xf numFmtId="176" fontId="10" fillId="2" borderId="0" xfId="0" applyNumberFormat="1" applyFont="1" applyFill="1" applyAlignment="1">
      <alignment horizontal="left"/>
    </xf>
    <xf numFmtId="0" fontId="10" fillId="2" borderId="0" xfId="0" applyFont="1" applyFill="1"/>
    <xf numFmtId="177" fontId="11" fillId="2" borderId="0" xfId="0" applyNumberFormat="1" applyFont="1" applyFill="1" applyAlignment="1">
      <alignment horizontal="left"/>
    </xf>
    <xf numFmtId="0" fontId="9" fillId="3" borderId="0" xfId="0" applyFont="1" applyFill="1" applyAlignment="1">
      <alignment vertical="top"/>
    </xf>
    <xf numFmtId="178" fontId="10" fillId="2" borderId="0" xfId="0" applyNumberFormat="1" applyFont="1" applyFill="1" applyAlignment="1">
      <alignment horizontal="left"/>
    </xf>
    <xf numFmtId="178" fontId="11" fillId="2" borderId="0" xfId="0" applyNumberFormat="1" applyFont="1" applyFill="1"/>
    <xf numFmtId="0" fontId="9" fillId="2" borderId="0" xfId="0" applyFont="1" applyFill="1" applyAlignment="1">
      <alignment horizontal="left" vertical="top"/>
    </xf>
    <xf numFmtId="178" fontId="9" fillId="2" borderId="0" xfId="0" applyNumberFormat="1" applyFont="1" applyFill="1" applyAlignment="1">
      <alignment horizontal="left"/>
    </xf>
    <xf numFmtId="0" fontId="12" fillId="2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justify" vertical="center"/>
    </xf>
    <xf numFmtId="0" fontId="14" fillId="3" borderId="1" xfId="0" applyFont="1" applyFill="1" applyBorder="1" applyAlignment="1">
      <alignment horizontal="center" vertical="center"/>
    </xf>
    <xf numFmtId="179" fontId="13" fillId="3" borderId="1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15" fillId="2" borderId="0" xfId="0" applyFont="1" applyFill="1" applyAlignment="1">
      <alignment vertical="center" wrapText="1"/>
    </xf>
    <xf numFmtId="0" fontId="16" fillId="2" borderId="2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180" fontId="17" fillId="2" borderId="1" xfId="0" applyNumberFormat="1" applyFont="1" applyFill="1" applyBorder="1" applyAlignment="1">
      <alignment vertical="center" wrapText="1"/>
    </xf>
    <xf numFmtId="181" fontId="18" fillId="2" borderId="1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distributed" vertical="center" wrapText="1"/>
    </xf>
    <xf numFmtId="0" fontId="20" fillId="2" borderId="4" xfId="0" applyFont="1" applyFill="1" applyBorder="1" applyAlignment="1">
      <alignment horizontal="distributed" vertical="center" wrapText="1"/>
    </xf>
    <xf numFmtId="182" fontId="20" fillId="2" borderId="5" xfId="0" applyNumberFormat="1" applyFont="1" applyFill="1" applyBorder="1" applyAlignment="1">
      <alignment horizontal="left" vertical="center" wrapText="1"/>
    </xf>
    <xf numFmtId="182" fontId="20" fillId="2" borderId="1" xfId="0" applyNumberFormat="1" applyFont="1" applyFill="1" applyBorder="1" applyAlignment="1">
      <alignment horizontal="left" vertical="center" wrapText="1"/>
    </xf>
    <xf numFmtId="9" fontId="3" fillId="2" borderId="0" xfId="0" applyNumberFormat="1" applyFont="1" applyFill="1" applyAlignment="1">
      <alignment horizontal="center" vertical="center"/>
    </xf>
    <xf numFmtId="0" fontId="5" fillId="2" borderId="0" xfId="0" applyFont="1" applyFill="1" applyAlignment="1">
      <alignment horizontal="left"/>
    </xf>
    <xf numFmtId="0" fontId="21" fillId="2" borderId="0" xfId="0" applyFont="1" applyFill="1" applyAlignment="1">
      <alignment horizontal="left" vertical="center" wrapText="1"/>
    </xf>
    <xf numFmtId="0" fontId="5" fillId="3" borderId="0" xfId="0" applyFont="1" applyFill="1" applyAlignment="1">
      <alignment horizontal="left" wrapText="1"/>
    </xf>
    <xf numFmtId="0" fontId="22" fillId="3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23" fillId="2" borderId="0" xfId="0" applyFont="1" applyFill="1" applyAlignment="1">
      <alignment horizontal="left"/>
    </xf>
    <xf numFmtId="0" fontId="24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23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25" fillId="2" borderId="6" xfId="0" applyFont="1" applyFill="1" applyBorder="1"/>
    <xf numFmtId="0" fontId="26" fillId="2" borderId="7" xfId="0" applyFont="1" applyFill="1" applyBorder="1"/>
    <xf numFmtId="0" fontId="2" fillId="2" borderId="7" xfId="0" applyFont="1" applyFill="1" applyBorder="1"/>
    <xf numFmtId="0" fontId="25" fillId="3" borderId="6" xfId="0" applyFont="1" applyFill="1" applyBorder="1" applyAlignment="1">
      <alignment horizontal="left"/>
    </xf>
    <xf numFmtId="0" fontId="25" fillId="3" borderId="7" xfId="0" applyFont="1" applyFill="1" applyBorder="1" applyAlignment="1">
      <alignment horizontal="left"/>
    </xf>
    <xf numFmtId="0" fontId="25" fillId="3" borderId="8" xfId="0" applyFont="1" applyFill="1" applyBorder="1" applyAlignment="1">
      <alignment horizontal="left"/>
    </xf>
    <xf numFmtId="0" fontId="25" fillId="2" borderId="9" xfId="0" applyFont="1" applyFill="1" applyBorder="1" applyAlignment="1">
      <alignment horizontal="left" vertical="center"/>
    </xf>
    <xf numFmtId="0" fontId="25" fillId="2" borderId="0" xfId="0" applyFont="1" applyFill="1" applyAlignment="1">
      <alignment horizontal="left" vertical="center"/>
    </xf>
    <xf numFmtId="0" fontId="25" fillId="3" borderId="9" xfId="0" applyFont="1" applyFill="1" applyBorder="1" applyAlignment="1">
      <alignment horizontal="left"/>
    </xf>
    <xf numFmtId="0" fontId="25" fillId="3" borderId="0" xfId="0" applyFont="1" applyFill="1" applyAlignment="1">
      <alignment horizontal="left"/>
    </xf>
    <xf numFmtId="0" fontId="25" fillId="3" borderId="10" xfId="0" applyFont="1" applyFill="1" applyBorder="1" applyAlignment="1">
      <alignment horizontal="left"/>
    </xf>
    <xf numFmtId="0" fontId="25" fillId="2" borderId="9" xfId="0" applyFont="1" applyFill="1" applyBorder="1"/>
    <xf numFmtId="0" fontId="27" fillId="2" borderId="0" xfId="0" applyFont="1" applyFill="1"/>
    <xf numFmtId="0" fontId="28" fillId="2" borderId="9" xfId="0" applyFont="1" applyFill="1" applyBorder="1" applyAlignment="1">
      <alignment horizontal="left" wrapText="1"/>
    </xf>
    <xf numFmtId="0" fontId="25" fillId="2" borderId="0" xfId="0" applyFont="1" applyFill="1" applyAlignment="1">
      <alignment horizontal="left" wrapText="1"/>
    </xf>
    <xf numFmtId="0" fontId="29" fillId="2" borderId="0" xfId="0" applyFont="1" applyFill="1"/>
    <xf numFmtId="0" fontId="25" fillId="2" borderId="11" xfId="0" applyFont="1" applyFill="1" applyBorder="1"/>
    <xf numFmtId="0" fontId="29" fillId="2" borderId="12" xfId="0" applyFont="1" applyFill="1" applyBorder="1"/>
    <xf numFmtId="0" fontId="2" fillId="2" borderId="12" xfId="0" applyFont="1" applyFill="1" applyBorder="1"/>
    <xf numFmtId="0" fontId="3" fillId="2" borderId="0" xfId="0" applyFont="1" applyFill="1" applyAlignment="1">
      <alignment horizontal="justify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U72"/>
  <sheetViews>
    <sheetView tabSelected="1" view="pageBreakPreview" zoomScaleNormal="100" workbookViewId="0">
      <selection activeCell="F20" sqref="F20"/>
    </sheetView>
  </sheetViews>
  <sheetFormatPr defaultColWidth="9" defaultRowHeight="14.25"/>
  <cols>
    <col min="1" max="1" width="10" style="10" customWidth="1"/>
    <col min="2" max="2" width="25" style="10" customWidth="1"/>
    <col min="3" max="3" width="11.875" style="10" customWidth="1"/>
    <col min="4" max="4" width="9.875" style="10" customWidth="1"/>
    <col min="5" max="5" width="7.25" style="10" customWidth="1"/>
    <col min="6" max="6" width="15.25" style="10" customWidth="1"/>
    <col min="7" max="7" width="18.125" style="10" customWidth="1"/>
    <col min="8" max="8" width="9" style="10" hidden="1" customWidth="1"/>
    <col min="9" max="9" width="5.875" style="10" hidden="1" customWidth="1"/>
    <col min="10" max="10" width="6.625" style="10" hidden="1" customWidth="1"/>
    <col min="11" max="12" width="9" style="10" hidden="1" customWidth="1"/>
    <col min="13" max="13" width="4.875" style="10" customWidth="1"/>
    <col min="14" max="14" width="3.5" style="10" customWidth="1"/>
    <col min="15" max="15" width="9" style="10" customWidth="1"/>
    <col min="16" max="16" width="33.625" style="10" customWidth="1"/>
    <col min="17" max="255" width="9" style="10" customWidth="1"/>
    <col min="256" max="16384" width="9" style="10"/>
  </cols>
  <sheetData>
    <row r="1" s="1" customFormat="1" ht="30" customHeight="1" spans="1:19">
      <c r="A1" s="11" t="s">
        <v>0</v>
      </c>
      <c r="B1" s="12"/>
      <c r="C1" s="12"/>
      <c r="D1" s="12"/>
      <c r="E1" s="12"/>
      <c r="F1" s="12"/>
      <c r="G1" s="12"/>
    </row>
    <row r="2" ht="3" customHeight="1" spans="1:19">
      <c r="A2" s="13"/>
      <c r="B2" s="13"/>
      <c r="C2" s="13"/>
      <c r="D2" s="13"/>
      <c r="E2" s="13"/>
      <c r="F2" s="13"/>
      <c r="G2" s="13"/>
    </row>
    <row r="3" s="2" customFormat="1" ht="13.5" spans="1:19">
      <c r="A3" s="14" t="s">
        <v>1</v>
      </c>
      <c r="B3" s="14"/>
      <c r="C3" s="15"/>
      <c r="D3" s="15"/>
      <c r="E3" s="15"/>
      <c r="F3" s="16" t="s">
        <v>2</v>
      </c>
      <c r="G3" s="17">
        <f ca="1">TODAY()</f>
        <v>46167</v>
      </c>
      <c r="H3" s="18"/>
    </row>
    <row r="4" s="3" customFormat="1" ht="13.5" spans="1:19">
      <c r="A4" s="18"/>
      <c r="B4" s="18"/>
      <c r="C4" s="19"/>
      <c r="D4" s="18"/>
      <c r="E4" s="18"/>
      <c r="F4" s="16" t="s">
        <v>3</v>
      </c>
      <c r="G4" s="16" t="s">
        <v>4</v>
      </c>
      <c r="H4" s="18"/>
    </row>
    <row r="5" s="3" customFormat="1" ht="13.5" spans="1:19">
      <c r="A5" s="20" t="s">
        <v>5</v>
      </c>
      <c r="B5" s="20"/>
      <c r="C5" s="20"/>
      <c r="D5" s="20"/>
      <c r="E5" s="18"/>
      <c r="F5" s="16" t="s">
        <v>6</v>
      </c>
      <c r="G5" s="21">
        <f ca="1">TODAY()</f>
        <v>46167</v>
      </c>
      <c r="H5" s="22"/>
    </row>
    <row r="6" s="3" customFormat="1" ht="13.5" spans="1:19">
      <c r="A6" s="23"/>
      <c r="B6" s="23"/>
      <c r="C6" s="23"/>
      <c r="D6" s="23"/>
      <c r="E6" s="18"/>
      <c r="F6" s="16" t="s">
        <v>7</v>
      </c>
      <c r="G6" s="24" t="s">
        <v>4</v>
      </c>
      <c r="H6" s="21"/>
      <c r="S6" s="3" t="s">
        <v>8</v>
      </c>
    </row>
    <row r="7" s="3" customFormat="1" ht="17.1" customHeight="1" spans="1:19">
      <c r="A7" s="7" t="s">
        <v>9</v>
      </c>
    </row>
    <row r="8" s="3" customFormat="1" ht="18" customHeight="1" spans="1:19">
      <c r="A8" s="7" t="s">
        <v>10</v>
      </c>
    </row>
    <row r="9" s="4" customFormat="1" ht="15.95" customHeight="1" spans="1:19">
      <c r="A9" s="25" t="s">
        <v>11</v>
      </c>
      <c r="B9" s="26" t="s">
        <v>12</v>
      </c>
      <c r="C9" s="27" t="s">
        <v>13</v>
      </c>
      <c r="D9" s="27" t="s">
        <v>14</v>
      </c>
      <c r="E9" s="27" t="s">
        <v>15</v>
      </c>
      <c r="F9" s="27" t="s">
        <v>16</v>
      </c>
      <c r="G9" s="28" t="s">
        <v>17</v>
      </c>
      <c r="P9" s="29" t="s">
        <v>18</v>
      </c>
    </row>
    <row r="10" s="4" customFormat="1" ht="15.95" customHeight="1" spans="1:19">
      <c r="A10" s="25">
        <v>1</v>
      </c>
      <c r="B10" s="30" t="s">
        <v>19</v>
      </c>
      <c r="C10" s="31" t="s">
        <v>20</v>
      </c>
      <c r="D10" s="32">
        <v>6950</v>
      </c>
      <c r="E10" s="32">
        <v>10</v>
      </c>
      <c r="F10" s="32">
        <f>D10*E10</f>
        <v>69500</v>
      </c>
      <c r="G10" s="33"/>
    </row>
    <row r="11" s="5" customFormat="1" ht="16" customHeight="1" spans="1:19">
      <c r="A11" s="25">
        <v>2</v>
      </c>
      <c r="B11" s="30" t="s">
        <v>21</v>
      </c>
      <c r="C11" s="31" t="s">
        <v>22</v>
      </c>
      <c r="D11" s="32">
        <v>9450</v>
      </c>
      <c r="E11" s="32">
        <v>40</v>
      </c>
      <c r="F11" s="32">
        <f>D11*E11</f>
        <v>378000</v>
      </c>
      <c r="G11" s="33"/>
      <c r="H11" s="34"/>
      <c r="I11" s="34"/>
      <c r="J11" s="34"/>
      <c r="K11" s="34"/>
      <c r="L11" s="34"/>
      <c r="M11" s="34"/>
    </row>
    <row r="12" s="5" customFormat="1" ht="27" customHeight="1" spans="1:19">
      <c r="A12" s="35" t="s">
        <v>23</v>
      </c>
      <c r="B12" s="35"/>
      <c r="C12" s="36"/>
      <c r="D12" s="36"/>
      <c r="E12" s="37"/>
      <c r="F12" s="38">
        <f>SUM(F10:F10)</f>
        <v>69500</v>
      </c>
      <c r="G12" s="33"/>
      <c r="H12" s="34"/>
      <c r="I12" s="34"/>
      <c r="J12" s="34"/>
      <c r="K12" s="34"/>
      <c r="L12" s="34"/>
      <c r="M12" s="34"/>
    </row>
    <row r="13" s="4" customFormat="1" ht="26.1" customHeight="1" spans="1:19">
      <c r="A13" s="39" t="s">
        <v>24</v>
      </c>
      <c r="B13" s="40"/>
      <c r="C13" s="41" t="str">
        <f>IF(F12&lt;0,"负","")&amp;IF(ABS(F12)&gt;1,TEXT(TRUNC(ABS(ROUND(F12,2))),"[DBNum2]")&amp;"元","")&amp;IF(ISERR(FIND(".",ROUND(F12,2))),"",TEXT(RIGHT(TRUNC(ROUND(F12,2)*10)),"[DBNum2]"))&amp;IF(ISERR(FIND(".0",TEXT(F12,"0.00"))),"角","")&amp;IF(LEFT(RIGHT(ROUND(F12,2),3))=".",TEXT(RIGHT(ROUND(F12,2)),"[DBNum2]")&amp;"分","整")</f>
        <v>陆万玖仟伍佰元整</v>
      </c>
      <c r="D13" s="42"/>
      <c r="E13" s="42"/>
      <c r="F13" s="42"/>
      <c r="G13" s="42"/>
      <c r="P13" s="43"/>
    </row>
    <row r="14" s="3" customFormat="1" ht="23.1" customHeight="1" spans="1:19">
      <c r="A14" s="44" t="s">
        <v>25</v>
      </c>
      <c r="B14" s="44"/>
      <c r="C14" s="44"/>
      <c r="D14" s="44"/>
      <c r="E14" s="44"/>
      <c r="F14" s="44"/>
      <c r="G14" s="44"/>
      <c r="H14" s="45"/>
      <c r="I14" s="45"/>
      <c r="J14" s="45"/>
      <c r="K14" s="45"/>
      <c r="L14" s="45"/>
      <c r="M14" s="45"/>
      <c r="N14" s="45"/>
    </row>
    <row r="15" s="6" customFormat="1" ht="29.25" customHeight="1" spans="1:19">
      <c r="A15" s="46" t="s">
        <v>26</v>
      </c>
      <c r="B15" s="47"/>
      <c r="C15" s="47"/>
      <c r="D15" s="47"/>
      <c r="E15" s="47"/>
      <c r="F15" s="47"/>
      <c r="G15" s="47"/>
    </row>
    <row r="16" s="3" customFormat="1" ht="23.1" customHeight="1" spans="1:19">
      <c r="A16" s="44" t="s">
        <v>27</v>
      </c>
      <c r="B16" s="48"/>
      <c r="C16" s="48"/>
      <c r="D16" s="48"/>
      <c r="E16" s="48"/>
      <c r="F16" s="48"/>
      <c r="G16" s="48"/>
    </row>
    <row r="17" s="3" customFormat="1" ht="23.1" customHeight="1" spans="1:16">
      <c r="A17" s="44" t="s">
        <v>28</v>
      </c>
      <c r="B17" s="48"/>
      <c r="C17" s="49"/>
      <c r="D17" s="48"/>
      <c r="E17" s="48"/>
      <c r="F17" s="48"/>
      <c r="G17" s="48"/>
    </row>
    <row r="18" s="3" customFormat="1" ht="23.1" customHeight="1" spans="1:16">
      <c r="A18" s="44" t="s">
        <v>29</v>
      </c>
      <c r="B18" s="48"/>
      <c r="C18" s="48"/>
      <c r="D18" s="48"/>
      <c r="E18" s="48"/>
      <c r="F18" s="48"/>
      <c r="G18" s="48"/>
    </row>
    <row r="19" s="7" customFormat="1" ht="23.1" customHeight="1" spans="1:16">
      <c r="A19" s="49" t="s">
        <v>30</v>
      </c>
      <c r="B19" s="48"/>
      <c r="C19" s="48"/>
      <c r="D19" s="48"/>
      <c r="E19" s="48"/>
      <c r="F19" s="48"/>
      <c r="G19" s="48"/>
      <c r="H19" s="3"/>
    </row>
    <row r="20" s="3" customFormat="1" ht="23.1" customHeight="1" spans="1:16">
      <c r="A20" s="44" t="s">
        <v>31</v>
      </c>
      <c r="B20" s="48"/>
      <c r="C20" s="48"/>
      <c r="D20" s="48"/>
      <c r="E20" s="48"/>
      <c r="F20" s="48"/>
      <c r="G20" s="48"/>
      <c r="I20" s="50"/>
      <c r="J20" s="50"/>
      <c r="K20" s="50"/>
      <c r="L20" s="50"/>
      <c r="M20" s="50"/>
      <c r="N20" s="50"/>
    </row>
    <row r="21" s="3" customFormat="1" ht="23.1" customHeight="1" spans="1:16">
      <c r="A21" s="44" t="s">
        <v>32</v>
      </c>
      <c r="B21" s="44"/>
      <c r="C21" s="44"/>
      <c r="D21" s="44"/>
      <c r="E21" s="44"/>
      <c r="F21" s="44"/>
      <c r="G21" s="44"/>
      <c r="H21" s="50"/>
    </row>
    <row r="22" s="3" customFormat="1" ht="32.1" customHeight="1" spans="1:16">
      <c r="A22" s="51" t="s">
        <v>33</v>
      </c>
      <c r="B22" s="52"/>
      <c r="C22" s="52"/>
      <c r="D22" s="52"/>
      <c r="E22" s="52"/>
      <c r="F22" s="52"/>
      <c r="G22" s="52"/>
    </row>
    <row r="23" s="3" customFormat="1" ht="23.1" customHeight="1" spans="1:16">
      <c r="A23" s="53" t="s">
        <v>34</v>
      </c>
      <c r="B23" s="53"/>
      <c r="C23" s="53"/>
      <c r="D23" s="53"/>
      <c r="E23" s="53"/>
      <c r="F23" s="53"/>
      <c r="G23" s="53"/>
    </row>
    <row r="24" s="3" customFormat="1" ht="23.1" customHeight="1" spans="1:16">
      <c r="A24" s="44" t="s">
        <v>35</v>
      </c>
      <c r="B24" s="48"/>
      <c r="C24" s="48"/>
      <c r="D24" s="48"/>
      <c r="E24" s="48"/>
      <c r="F24" s="48"/>
      <c r="G24" s="48"/>
    </row>
    <row r="25" s="3" customFormat="1" ht="23.1" customHeight="1" spans="1:16">
      <c r="A25" s="49" t="s">
        <v>36</v>
      </c>
      <c r="B25" s="48"/>
      <c r="C25" s="48"/>
      <c r="D25" s="48"/>
      <c r="E25" s="48"/>
      <c r="F25" s="48"/>
      <c r="G25" s="48"/>
    </row>
    <row r="26" s="8" customFormat="1" ht="23.1" customHeight="1" spans="1:16">
      <c r="A26" s="44" t="s">
        <v>37</v>
      </c>
      <c r="B26" s="48"/>
      <c r="C26" s="48"/>
      <c r="D26" s="48"/>
      <c r="E26" s="48"/>
      <c r="F26" s="48"/>
      <c r="G26" s="48"/>
      <c r="H26" s="3"/>
    </row>
    <row r="27" s="8" customFormat="1" ht="23.1" customHeight="1" spans="1:16">
      <c r="A27" s="54" t="s">
        <v>38</v>
      </c>
    </row>
    <row r="28" s="3" customFormat="1" ht="21.95" customHeight="1" spans="1:16">
      <c r="A28" s="55" t="s">
        <v>1</v>
      </c>
      <c r="B28" s="56"/>
      <c r="C28" s="57"/>
      <c r="D28" s="58" t="s">
        <v>5</v>
      </c>
      <c r="E28" s="59"/>
      <c r="F28" s="59"/>
      <c r="G28" s="60"/>
    </row>
    <row r="29" s="3" customFormat="1" ht="21.95" customHeight="1" spans="1:16">
      <c r="A29" s="61" t="s">
        <v>39</v>
      </c>
      <c r="B29" s="62"/>
      <c r="C29" s="62"/>
      <c r="D29" s="63" t="s">
        <v>40</v>
      </c>
      <c r="E29" s="64"/>
      <c r="F29" s="64"/>
      <c r="G29" s="65"/>
    </row>
    <row r="30" s="3" customFormat="1" ht="21.95" customHeight="1" spans="1:16">
      <c r="A30" s="66" t="s">
        <v>41</v>
      </c>
      <c r="B30" s="2"/>
      <c r="C30" s="2"/>
      <c r="D30" s="63" t="s">
        <v>41</v>
      </c>
      <c r="E30" s="64"/>
      <c r="F30" s="64"/>
      <c r="G30" s="65"/>
      <c r="P30" s="7"/>
    </row>
    <row r="31" s="3" customFormat="1" ht="21.95" customHeight="1" spans="1:16">
      <c r="A31" s="66" t="s">
        <v>42</v>
      </c>
      <c r="B31" s="67"/>
      <c r="C31" s="2"/>
      <c r="D31" s="63" t="s">
        <v>43</v>
      </c>
      <c r="E31" s="64"/>
      <c r="F31" s="64"/>
      <c r="G31" s="65"/>
    </row>
    <row r="32" s="3" customFormat="1" ht="21.95" customHeight="1" spans="1:16">
      <c r="A32" s="68" t="s">
        <v>44</v>
      </c>
      <c r="B32" s="69"/>
      <c r="C32" s="69"/>
      <c r="D32" s="63" t="s">
        <v>45</v>
      </c>
      <c r="E32" s="64"/>
      <c r="F32" s="64"/>
      <c r="G32" s="65"/>
    </row>
    <row r="33" s="3" customFormat="1" ht="21.95" customHeight="1" spans="1:7">
      <c r="A33" s="66" t="s">
        <v>46</v>
      </c>
      <c r="B33" s="2"/>
      <c r="C33" s="2"/>
      <c r="D33" s="63" t="s">
        <v>47</v>
      </c>
      <c r="E33" s="64"/>
      <c r="F33" s="64"/>
      <c r="G33" s="65"/>
    </row>
    <row r="34" s="3" customFormat="1" ht="21.95" customHeight="1" spans="1:7">
      <c r="A34" s="66" t="s">
        <v>48</v>
      </c>
      <c r="B34" s="70"/>
      <c r="C34" s="2"/>
      <c r="D34" s="63" t="s">
        <v>49</v>
      </c>
      <c r="E34" s="64"/>
      <c r="F34" s="64"/>
      <c r="G34" s="65"/>
    </row>
    <row r="35" s="3" customFormat="1" ht="21.95" customHeight="1" spans="1:7">
      <c r="A35" s="71" t="s">
        <v>50</v>
      </c>
      <c r="B35" s="72"/>
      <c r="C35" s="73"/>
      <c r="D35" s="63" t="s">
        <v>51</v>
      </c>
      <c r="E35" s="64"/>
      <c r="F35" s="64"/>
      <c r="G35" s="65"/>
    </row>
    <row r="36" s="3" customFormat="1" ht="13.5" spans="1:7">
      <c r="A36" s="74"/>
    </row>
    <row r="37" s="3" customFormat="1" ht="13.5"/>
    <row r="38" s="3" customFormat="1" ht="13.5"/>
    <row r="59" s="9" customFormat="1" ht="15" customHeight="1"/>
    <row r="60" s="9" customFormat="1" ht="15" customHeight="1"/>
    <row r="61" s="9" customFormat="1" ht="15" customHeight="1"/>
    <row r="62" s="9" customFormat="1" ht="15" customHeight="1"/>
    <row r="63" s="9" customFormat="1" ht="15" customHeight="1"/>
    <row r="64" s="9" customFormat="1" ht="15" customHeight="1"/>
    <row r="65" s="9" customFormat="1" ht="15" customHeight="1"/>
    <row r="66" s="9" customFormat="1" ht="15" customHeight="1"/>
    <row r="67" s="9" customFormat="1" ht="15" customHeight="1"/>
    <row r="68" s="9" customFormat="1" ht="15" customHeight="1"/>
    <row r="69" s="9" customFormat="1" ht="15" customHeight="1"/>
    <row r="70" s="9" customFormat="1" ht="15" customHeight="1"/>
    <row r="71" s="9" customFormat="1" ht="15" customHeight="1"/>
    <row r="72" s="9" customFormat="1" ht="15" customHeight="1"/>
  </sheetData>
  <mergeCells count="26">
    <mergeCell ref="A1:G1"/>
    <mergeCell ref="C3:E3"/>
    <mergeCell ref="A5:D5"/>
    <mergeCell ref="A12:D12"/>
    <mergeCell ref="A13:B13"/>
    <mergeCell ref="C13:G13"/>
    <mergeCell ref="A15:G15"/>
    <mergeCell ref="A16:G16"/>
    <mergeCell ref="A21:G21"/>
    <mergeCell ref="A22:G22"/>
    <mergeCell ref="A23:G23"/>
    <mergeCell ref="A24:G24"/>
    <mergeCell ref="A25:G25"/>
    <mergeCell ref="A27:G27"/>
    <mergeCell ref="D28:G28"/>
    <mergeCell ref="A29:C29"/>
    <mergeCell ref="D29:G29"/>
    <mergeCell ref="D30:G30"/>
    <mergeCell ref="D31:G31"/>
    <mergeCell ref="A32:C32"/>
    <mergeCell ref="D32:G32"/>
    <mergeCell ref="D33:G33"/>
    <mergeCell ref="D34:G34"/>
    <mergeCell ref="D35:G35"/>
    <mergeCell ref="G10:G12"/>
    <mergeCell ref="A59:IU72"/>
  </mergeCells>
  <printOptions horizontalCentered="1"/>
  <pageMargins left="0.43" right="0.31" top="0.75" bottom="0.83" header="0.51" footer="0.51"/>
  <pageSetup paperSize="9" scale="92" orientation="portrait" horizontalDpi="200" verticalDpi="300"/>
  <headerFooter alignWithMargins="0" scaleWithDoc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61663</dc:creator>
  <cp:lastModifiedBy>囚与困</cp:lastModifiedBy>
  <cp:revision>1</cp:revision>
  <dcterms:created xsi:type="dcterms:W3CDTF">1996-12-17T01:32:00Z</dcterms:created>
  <cp:lastPrinted>2025-04-21T02:42:00Z</cp:lastPrinted>
  <dcterms:modified xsi:type="dcterms:W3CDTF">2026-05-25T03:03:43Z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2C360C0EBFBD4EE78933C118E2B9F655</vt:lpwstr>
  </property>
  <property fmtid="{D5CDD505-2E9C-101B-9397-08002B2CF9AE}" pid="4" name="CalculationRule">
    <vt:i4>0</vt:i4>
  </property>
</Properties>
</file>